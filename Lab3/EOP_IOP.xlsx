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mm/Desktop/ENGO531/ENGO531_code/Lab3/"/>
    </mc:Choice>
  </mc:AlternateContent>
  <xr:revisionPtr revIDLastSave="0" documentId="13_ncr:1_{660A9F27-AA24-444B-8FC4-DD053F35D745}" xr6:coauthVersionLast="47" xr6:coauthVersionMax="47" xr10:uidLastSave="{00000000-0000-0000-0000-000000000000}"/>
  <bookViews>
    <workbookView xWindow="1480" yWindow="660" windowWidth="19240" windowHeight="17520" xr2:uid="{B2499F7F-9E69-A84F-9278-A077D249C0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2" l="1"/>
  <c r="G9" i="2"/>
  <c r="F9" i="2"/>
  <c r="K8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E45" i="1"/>
  <c r="E44" i="1"/>
  <c r="C44" i="1"/>
  <c r="C45" i="1" s="1"/>
  <c r="B45" i="1"/>
  <c r="D45" i="1" s="1"/>
  <c r="F45" i="1" s="1"/>
  <c r="B44" i="1"/>
  <c r="D44" i="1" s="1"/>
  <c r="G44" i="1" s="1"/>
  <c r="K8" i="1"/>
  <c r="H38" i="1" s="1"/>
  <c r="H34" i="1"/>
  <c r="H36" i="1"/>
  <c r="F34" i="1"/>
  <c r="D35" i="1"/>
  <c r="F35" i="1"/>
  <c r="G35" i="1"/>
  <c r="H35" i="1"/>
  <c r="F36" i="1"/>
  <c r="F37" i="1"/>
  <c r="G37" i="1"/>
  <c r="H37" i="1"/>
  <c r="D38" i="1"/>
  <c r="E38" i="1"/>
  <c r="F38" i="1"/>
  <c r="F39" i="1"/>
  <c r="F40" i="1" s="1"/>
  <c r="G39" i="1"/>
  <c r="H39" i="1"/>
  <c r="H40" i="1" s="1"/>
  <c r="F33" i="1"/>
  <c r="G33" i="1"/>
  <c r="H33" i="1"/>
  <c r="C33" i="1"/>
  <c r="H4" i="1"/>
  <c r="E34" i="1" s="1"/>
  <c r="H5" i="1"/>
  <c r="E35" i="1" s="1"/>
  <c r="H6" i="1"/>
  <c r="E36" i="1" s="1"/>
  <c r="H7" i="1"/>
  <c r="E37" i="1" s="1"/>
  <c r="H8" i="1"/>
  <c r="H9" i="1"/>
  <c r="E39" i="1" s="1"/>
  <c r="E40" i="1" s="1"/>
  <c r="G4" i="1"/>
  <c r="D34" i="1" s="1"/>
  <c r="G5" i="1"/>
  <c r="G6" i="1"/>
  <c r="D36" i="1" s="1"/>
  <c r="G7" i="1"/>
  <c r="D37" i="1" s="1"/>
  <c r="G8" i="1"/>
  <c r="G9" i="1"/>
  <c r="D39" i="1" s="1"/>
  <c r="D40" i="1" s="1"/>
  <c r="F4" i="1"/>
  <c r="C34" i="1" s="1"/>
  <c r="F5" i="1"/>
  <c r="C35" i="1" s="1"/>
  <c r="F6" i="1"/>
  <c r="C36" i="1" s="1"/>
  <c r="F7" i="1"/>
  <c r="C37" i="1" s="1"/>
  <c r="F8" i="1"/>
  <c r="C38" i="1" s="1"/>
  <c r="F9" i="1"/>
  <c r="C39" i="1" s="1"/>
  <c r="C40" i="1" s="1"/>
  <c r="H3" i="1"/>
  <c r="E33" i="1" s="1"/>
  <c r="G3" i="1"/>
  <c r="D33" i="1" s="1"/>
  <c r="F3" i="1"/>
</calcChain>
</file>

<file path=xl/sharedStrings.xml><?xml version="1.0" encoding="utf-8"?>
<sst xmlns="http://schemas.openxmlformats.org/spreadsheetml/2006/main" count="73" uniqueCount="40">
  <si>
    <t>Image</t>
  </si>
  <si>
    <t xml:space="preserve">phi </t>
  </si>
  <si>
    <t>kappa</t>
  </si>
  <si>
    <t>omega</t>
  </si>
  <si>
    <t>from</t>
  </si>
  <si>
    <t>Point</t>
  </si>
  <si>
    <t>Missing Coordinates</t>
  </si>
  <si>
    <t>control points</t>
  </si>
  <si>
    <t>Chosen images</t>
  </si>
  <si>
    <t>8P</t>
  </si>
  <si>
    <t>3P</t>
  </si>
  <si>
    <t>5P</t>
  </si>
  <si>
    <t>7P</t>
  </si>
  <si>
    <t>Calibration</t>
  </si>
  <si>
    <t>Landscape</t>
  </si>
  <si>
    <t>Portrait</t>
  </si>
  <si>
    <t>Height mm</t>
  </si>
  <si>
    <t>Base mm</t>
  </si>
  <si>
    <t>H/B</t>
  </si>
  <si>
    <t>dist (pix)</t>
  </si>
  <si>
    <t>point_id</t>
  </si>
  <si>
    <t>image_id</t>
  </si>
  <si>
    <t>filename</t>
  </si>
  <si>
    <t>x_pix</t>
  </si>
  <si>
    <t>y_pix</t>
  </si>
  <si>
    <t>/Users/trevormm/Desktop/ENGO531/ENGO531_code/Lab3/Calibration_PNG/IMG_5771.png</t>
  </si>
  <si>
    <t>/Users/trevormm/Desktop/ENGO531/ENGO531_code/Lab3/Calibration_PNG/IMG_5770.png</t>
  </si>
  <si>
    <t>landscape</t>
  </si>
  <si>
    <t>portrait</t>
  </si>
  <si>
    <t>deltaX mm</t>
  </si>
  <si>
    <t>deltaY mm</t>
  </si>
  <si>
    <t>deltaZ mm</t>
  </si>
  <si>
    <t>X mm</t>
  </si>
  <si>
    <t>Y mm</t>
  </si>
  <si>
    <t>Z mm</t>
  </si>
  <si>
    <t>orientation</t>
  </si>
  <si>
    <t>c (pix)</t>
  </si>
  <si>
    <t>c_mean (pix)</t>
  </si>
  <si>
    <t>New Image name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</si>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</sst>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 inden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DEF3-DC5F-DE43-882C-56E4827D7EA5}">
  <dimension ref="A1:K60"/>
  <sheetViews>
    <sheetView tabSelected="1" workbookViewId="0">
      <selection activeCell="F44" sqref="F44"/>
    </sheetView>
  </sheetViews>
  <sheetFormatPr baseColWidth="10" defaultRowHeight="16" x14ac:dyDescent="0.2"/>
  <cols>
    <col min="1" max="1" width="8.33203125" customWidth="1"/>
    <col min="2" max="2" width="6.83203125" customWidth="1"/>
    <col min="6" max="6" width="6.6640625" customWidth="1"/>
    <col min="7" max="7" width="7.5" customWidth="1"/>
    <col min="8" max="8" width="6.6640625" customWidth="1"/>
  </cols>
  <sheetData>
    <row r="1" spans="1:11" x14ac:dyDescent="0.2">
      <c r="A1" s="2" t="s">
        <v>0</v>
      </c>
      <c r="B1" s="3" t="s">
        <v>4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1</v>
      </c>
      <c r="J1" s="3" t="s">
        <v>2</v>
      </c>
      <c r="K1" s="3" t="s">
        <v>3</v>
      </c>
    </row>
    <row r="2" spans="1:11" x14ac:dyDescent="0.2">
      <c r="A2" s="4">
        <v>1</v>
      </c>
      <c r="B2" s="4">
        <v>1097</v>
      </c>
      <c r="C2" s="4">
        <v>0</v>
      </c>
      <c r="D2" s="4">
        <v>0</v>
      </c>
      <c r="E2" s="4">
        <v>0</v>
      </c>
      <c r="F2" s="4" t="s">
        <v>6</v>
      </c>
      <c r="G2" s="4"/>
      <c r="H2" s="4"/>
      <c r="I2" s="4">
        <v>-45</v>
      </c>
      <c r="J2" s="4">
        <v>0</v>
      </c>
      <c r="K2" s="4">
        <v>90</v>
      </c>
    </row>
    <row r="3" spans="1:11" x14ac:dyDescent="0.2">
      <c r="A3" s="3">
        <v>2</v>
      </c>
      <c r="B3" s="3">
        <v>1143</v>
      </c>
      <c r="C3" s="3">
        <v>0</v>
      </c>
      <c r="D3" s="3">
        <v>-3920</v>
      </c>
      <c r="E3" s="3">
        <v>-370</v>
      </c>
      <c r="F3" s="3">
        <f>B15+C3</f>
        <v>-280.78719999999998</v>
      </c>
      <c r="G3" s="3">
        <f>C15+D3</f>
        <v>-4149.0254999999997</v>
      </c>
      <c r="H3" s="3">
        <f>D15+E3</f>
        <v>152.2944</v>
      </c>
      <c r="I3" s="3">
        <v>0</v>
      </c>
      <c r="J3" s="3">
        <v>0</v>
      </c>
      <c r="K3" s="3">
        <v>105</v>
      </c>
    </row>
    <row r="4" spans="1:11" x14ac:dyDescent="0.2">
      <c r="A4" s="3">
        <v>3</v>
      </c>
      <c r="B4" s="3">
        <v>1148</v>
      </c>
      <c r="C4" s="3">
        <v>0</v>
      </c>
      <c r="D4" s="3">
        <v>-3520</v>
      </c>
      <c r="E4" s="3">
        <v>0</v>
      </c>
      <c r="F4" s="3">
        <f t="shared" ref="F4:F9" si="0">B16+C4</f>
        <v>-137.8809</v>
      </c>
      <c r="G4" s="3">
        <f t="shared" ref="G4:G9" si="1">C16+D4</f>
        <v>-3613.9113000000002</v>
      </c>
      <c r="H4" s="3">
        <f t="shared" ref="H4:H9" si="2">D16+E4</f>
        <v>1227.9179999999999</v>
      </c>
      <c r="I4" s="3">
        <v>0</v>
      </c>
      <c r="J4" s="3">
        <v>0</v>
      </c>
      <c r="K4" s="3">
        <v>90</v>
      </c>
    </row>
    <row r="5" spans="1:11" x14ac:dyDescent="0.2">
      <c r="A5" s="3">
        <v>4</v>
      </c>
      <c r="B5" s="3">
        <v>2036</v>
      </c>
      <c r="C5" s="3">
        <v>0</v>
      </c>
      <c r="D5" s="3">
        <v>-2540</v>
      </c>
      <c r="E5" s="3">
        <v>0</v>
      </c>
      <c r="F5" s="3">
        <f t="shared" si="0"/>
        <v>1311.3244999999999</v>
      </c>
      <c r="G5" s="3">
        <f t="shared" si="1"/>
        <v>-3712.2094999999999</v>
      </c>
      <c r="H5" s="3">
        <f t="shared" si="2"/>
        <v>415.53829999999999</v>
      </c>
      <c r="I5" s="3">
        <v>20</v>
      </c>
      <c r="J5" s="3">
        <v>0</v>
      </c>
      <c r="K5" s="3">
        <v>105</v>
      </c>
    </row>
    <row r="6" spans="1:11" x14ac:dyDescent="0.2">
      <c r="A6" s="3">
        <v>5</v>
      </c>
      <c r="B6" s="3">
        <v>2045</v>
      </c>
      <c r="C6" s="3">
        <v>0</v>
      </c>
      <c r="D6" s="3">
        <v>-1525</v>
      </c>
      <c r="E6" s="3">
        <v>0</v>
      </c>
      <c r="F6" s="3">
        <f t="shared" si="0"/>
        <v>2228.7159000000001</v>
      </c>
      <c r="G6" s="3">
        <f t="shared" si="1"/>
        <v>-3592.4672999999998</v>
      </c>
      <c r="H6" s="3">
        <f t="shared" si="2"/>
        <v>1293.5731000000001</v>
      </c>
      <c r="I6" s="3">
        <v>30</v>
      </c>
      <c r="J6" s="3">
        <v>0</v>
      </c>
      <c r="K6" s="3">
        <v>90</v>
      </c>
    </row>
    <row r="7" spans="1:11" x14ac:dyDescent="0.2">
      <c r="A7" s="3">
        <v>6</v>
      </c>
      <c r="B7" s="3">
        <v>2045</v>
      </c>
      <c r="C7" s="3">
        <v>0</v>
      </c>
      <c r="D7" s="3">
        <v>-680</v>
      </c>
      <c r="E7" s="3">
        <v>-1040</v>
      </c>
      <c r="F7" s="3">
        <f t="shared" si="0"/>
        <v>2228.7159000000001</v>
      </c>
      <c r="G7" s="3">
        <f t="shared" si="1"/>
        <v>-2747.4672999999998</v>
      </c>
      <c r="H7" s="3">
        <f t="shared" si="2"/>
        <v>253.57310000000007</v>
      </c>
      <c r="I7" s="3">
        <v>60</v>
      </c>
      <c r="J7" s="3">
        <v>0</v>
      </c>
      <c r="K7" s="3">
        <v>90</v>
      </c>
    </row>
    <row r="8" spans="1:11" x14ac:dyDescent="0.2">
      <c r="A8" s="3">
        <v>7</v>
      </c>
      <c r="B8" s="3">
        <v>1106</v>
      </c>
      <c r="C8" s="3">
        <v>0</v>
      </c>
      <c r="D8" s="3">
        <v>-980</v>
      </c>
      <c r="E8" s="3">
        <v>0</v>
      </c>
      <c r="F8" s="3">
        <f t="shared" si="0"/>
        <v>-1641.0098</v>
      </c>
      <c r="G8" s="3">
        <f t="shared" si="1"/>
        <v>-2594.2438000000002</v>
      </c>
      <c r="H8" s="3">
        <f t="shared" si="2"/>
        <v>1587.8896</v>
      </c>
      <c r="I8" s="3">
        <v>-45</v>
      </c>
      <c r="J8" s="3">
        <v>0</v>
      </c>
      <c r="K8" s="3">
        <f>(-10)+90</f>
        <v>80</v>
      </c>
    </row>
    <row r="9" spans="1:11" x14ac:dyDescent="0.2">
      <c r="A9" s="3">
        <v>8</v>
      </c>
      <c r="B9" s="3">
        <v>1146</v>
      </c>
      <c r="C9" s="3">
        <v>0</v>
      </c>
      <c r="D9" s="3">
        <v>-2285</v>
      </c>
      <c r="E9" s="3">
        <v>0</v>
      </c>
      <c r="F9" s="3">
        <f t="shared" si="0"/>
        <v>-162.81829999999999</v>
      </c>
      <c r="G9" s="3">
        <f t="shared" si="1"/>
        <v>-2404.7968999999998</v>
      </c>
      <c r="H9" s="3">
        <f t="shared" si="2"/>
        <v>683.2079</v>
      </c>
      <c r="I9" s="3">
        <v>0</v>
      </c>
      <c r="J9" s="3">
        <v>0</v>
      </c>
      <c r="K9" s="3">
        <v>90</v>
      </c>
    </row>
    <row r="13" spans="1:11" x14ac:dyDescent="0.2">
      <c r="A13" s="1" t="s">
        <v>5</v>
      </c>
      <c r="B13" t="s">
        <v>32</v>
      </c>
      <c r="C13" t="s">
        <v>33</v>
      </c>
      <c r="D13" t="s">
        <v>34</v>
      </c>
    </row>
    <row r="14" spans="1:11" x14ac:dyDescent="0.2">
      <c r="A14">
        <v>1097</v>
      </c>
    </row>
    <row r="15" spans="1:11" x14ac:dyDescent="0.2">
      <c r="A15">
        <v>1143</v>
      </c>
      <c r="B15">
        <v>-280.78719999999998</v>
      </c>
      <c r="C15">
        <v>-229.02549999999999</v>
      </c>
      <c r="D15">
        <v>522.2944</v>
      </c>
    </row>
    <row r="16" spans="1:11" x14ac:dyDescent="0.2">
      <c r="A16">
        <v>1148</v>
      </c>
      <c r="B16">
        <v>-137.8809</v>
      </c>
      <c r="C16">
        <v>-93.911299999999997</v>
      </c>
      <c r="D16">
        <v>1227.9179999999999</v>
      </c>
    </row>
    <row r="17" spans="1:8" x14ac:dyDescent="0.2">
      <c r="A17">
        <v>2036</v>
      </c>
      <c r="B17">
        <v>1311.3244999999999</v>
      </c>
      <c r="C17">
        <v>-1172.2094999999999</v>
      </c>
      <c r="D17">
        <v>415.53829999999999</v>
      </c>
    </row>
    <row r="18" spans="1:8" x14ac:dyDescent="0.2">
      <c r="A18">
        <v>2045</v>
      </c>
      <c r="B18">
        <v>2228.7159000000001</v>
      </c>
      <c r="C18">
        <v>-2067.4672999999998</v>
      </c>
      <c r="D18">
        <v>1293.5731000000001</v>
      </c>
    </row>
    <row r="19" spans="1:8" x14ac:dyDescent="0.2">
      <c r="A19">
        <v>2045</v>
      </c>
      <c r="B19">
        <v>2228.7159000000001</v>
      </c>
      <c r="C19">
        <v>-2067.4672999999998</v>
      </c>
      <c r="D19">
        <v>1293.5731000000001</v>
      </c>
    </row>
    <row r="20" spans="1:8" x14ac:dyDescent="0.2">
      <c r="A20">
        <v>1106</v>
      </c>
      <c r="B20">
        <v>-1641.0098</v>
      </c>
      <c r="C20">
        <v>-1614.2438</v>
      </c>
      <c r="D20">
        <v>1587.8896</v>
      </c>
    </row>
    <row r="21" spans="1:8" x14ac:dyDescent="0.2">
      <c r="A21">
        <v>1146</v>
      </c>
      <c r="B21">
        <v>-162.81829999999999</v>
      </c>
      <c r="C21">
        <v>-119.79689999999999</v>
      </c>
      <c r="D21">
        <v>683.2079</v>
      </c>
    </row>
    <row r="26" spans="1:8" x14ac:dyDescent="0.2">
      <c r="A26" s="1" t="s">
        <v>7</v>
      </c>
    </row>
    <row r="27" spans="1:8" x14ac:dyDescent="0.2">
      <c r="A27">
        <v>1121</v>
      </c>
      <c r="B27">
        <v>-1085.5064</v>
      </c>
      <c r="C27">
        <v>-1052.8177000000001</v>
      </c>
      <c r="D27">
        <v>2017.8427999999999</v>
      </c>
    </row>
    <row r="28" spans="1:8" x14ac:dyDescent="0.2">
      <c r="A28">
        <v>2030</v>
      </c>
      <c r="B28">
        <v>1062.7398000000001</v>
      </c>
      <c r="C28">
        <v>-922.75250000000005</v>
      </c>
      <c r="D28">
        <v>2119.5221000000001</v>
      </c>
    </row>
    <row r="29" spans="1:8" x14ac:dyDescent="0.2">
      <c r="A29">
        <v>2002</v>
      </c>
      <c r="B29">
        <v>146.45910000000001</v>
      </c>
      <c r="C29">
        <v>-27.958600000000001</v>
      </c>
      <c r="D29">
        <v>361.2389</v>
      </c>
    </row>
    <row r="32" spans="1:8" x14ac:dyDescent="0.2">
      <c r="A32" s="3" t="s">
        <v>8</v>
      </c>
      <c r="B32" s="3" t="s">
        <v>38</v>
      </c>
      <c r="C32" s="3" t="s">
        <v>32</v>
      </c>
      <c r="D32" s="3" t="s">
        <v>33</v>
      </c>
      <c r="E32" s="3" t="s">
        <v>34</v>
      </c>
      <c r="F32" s="3" t="s">
        <v>1</v>
      </c>
      <c r="G32" s="3" t="s">
        <v>2</v>
      </c>
      <c r="H32" s="3" t="s">
        <v>3</v>
      </c>
    </row>
    <row r="33" spans="1:8" x14ac:dyDescent="0.2">
      <c r="A33" s="5">
        <v>2</v>
      </c>
      <c r="B33" s="3">
        <v>1</v>
      </c>
      <c r="C33" s="3">
        <f t="shared" ref="C33:H33" si="3">F3</f>
        <v>-280.78719999999998</v>
      </c>
      <c r="D33" s="3">
        <f t="shared" si="3"/>
        <v>-4149.0254999999997</v>
      </c>
      <c r="E33" s="3">
        <f t="shared" si="3"/>
        <v>152.2944</v>
      </c>
      <c r="F33" s="3">
        <f t="shared" si="3"/>
        <v>0</v>
      </c>
      <c r="G33" s="3">
        <f t="shared" si="3"/>
        <v>0</v>
      </c>
      <c r="H33" s="3">
        <f t="shared" si="3"/>
        <v>105</v>
      </c>
    </row>
    <row r="34" spans="1:8" x14ac:dyDescent="0.2">
      <c r="A34" s="5" t="s">
        <v>10</v>
      </c>
      <c r="B34" s="3">
        <v>2</v>
      </c>
      <c r="C34" s="3">
        <f t="shared" ref="C34:F39" si="4">F4</f>
        <v>-137.8809</v>
      </c>
      <c r="D34" s="3">
        <f t="shared" si="4"/>
        <v>-3613.9113000000002</v>
      </c>
      <c r="E34" s="3">
        <f t="shared" si="4"/>
        <v>1227.9179999999999</v>
      </c>
      <c r="F34" s="3">
        <f t="shared" si="4"/>
        <v>0</v>
      </c>
      <c r="G34" s="3">
        <v>-90</v>
      </c>
      <c r="H34" s="3">
        <f t="shared" ref="H34:H39" si="5">K4</f>
        <v>90</v>
      </c>
    </row>
    <row r="35" spans="1:8" x14ac:dyDescent="0.2">
      <c r="A35" s="5">
        <v>4</v>
      </c>
      <c r="B35" s="3">
        <v>3</v>
      </c>
      <c r="C35" s="3">
        <f t="shared" si="4"/>
        <v>1311.3244999999999</v>
      </c>
      <c r="D35" s="3">
        <f t="shared" si="4"/>
        <v>-3712.2094999999999</v>
      </c>
      <c r="E35" s="3">
        <f t="shared" si="4"/>
        <v>415.53829999999999</v>
      </c>
      <c r="F35" s="3">
        <f t="shared" si="4"/>
        <v>20</v>
      </c>
      <c r="G35" s="3">
        <f>J5</f>
        <v>0</v>
      </c>
      <c r="H35" s="3">
        <f t="shared" si="5"/>
        <v>105</v>
      </c>
    </row>
    <row r="36" spans="1:8" x14ac:dyDescent="0.2">
      <c r="A36" s="5" t="s">
        <v>11</v>
      </c>
      <c r="B36" s="3">
        <v>4</v>
      </c>
      <c r="C36" s="3">
        <f t="shared" si="4"/>
        <v>2228.7159000000001</v>
      </c>
      <c r="D36" s="3">
        <f t="shared" si="4"/>
        <v>-3592.4672999999998</v>
      </c>
      <c r="E36" s="3">
        <f t="shared" si="4"/>
        <v>1293.5731000000001</v>
      </c>
      <c r="F36" s="3">
        <f t="shared" si="4"/>
        <v>30</v>
      </c>
      <c r="G36" s="3">
        <v>-90</v>
      </c>
      <c r="H36" s="3">
        <f t="shared" si="5"/>
        <v>90</v>
      </c>
    </row>
    <row r="37" spans="1:8" x14ac:dyDescent="0.2">
      <c r="A37" s="5">
        <v>6</v>
      </c>
      <c r="B37" s="3">
        <v>5</v>
      </c>
      <c r="C37" s="3">
        <f t="shared" si="4"/>
        <v>2228.7159000000001</v>
      </c>
      <c r="D37" s="3">
        <f t="shared" si="4"/>
        <v>-2747.4672999999998</v>
      </c>
      <c r="E37" s="3">
        <f t="shared" si="4"/>
        <v>253.57310000000007</v>
      </c>
      <c r="F37" s="3">
        <f t="shared" si="4"/>
        <v>60</v>
      </c>
      <c r="G37" s="3">
        <f>J7</f>
        <v>0</v>
      </c>
      <c r="H37" s="3">
        <f t="shared" si="5"/>
        <v>90</v>
      </c>
    </row>
    <row r="38" spans="1:8" x14ac:dyDescent="0.2">
      <c r="A38" s="5" t="s">
        <v>12</v>
      </c>
      <c r="B38" s="3">
        <v>6</v>
      </c>
      <c r="C38" s="3">
        <f t="shared" si="4"/>
        <v>-1641.0098</v>
      </c>
      <c r="D38" s="3">
        <f t="shared" si="4"/>
        <v>-2594.2438000000002</v>
      </c>
      <c r="E38" s="3">
        <f t="shared" si="4"/>
        <v>1587.8896</v>
      </c>
      <c r="F38" s="3">
        <f t="shared" si="4"/>
        <v>-45</v>
      </c>
      <c r="G38" s="3">
        <v>-90</v>
      </c>
      <c r="H38" s="3">
        <f t="shared" si="5"/>
        <v>80</v>
      </c>
    </row>
    <row r="39" spans="1:8" x14ac:dyDescent="0.2">
      <c r="A39" s="5">
        <v>8</v>
      </c>
      <c r="B39" s="3">
        <v>7</v>
      </c>
      <c r="C39" s="3">
        <f t="shared" si="4"/>
        <v>-162.81829999999999</v>
      </c>
      <c r="D39" s="3">
        <f t="shared" si="4"/>
        <v>-2404.7968999999998</v>
      </c>
      <c r="E39" s="3">
        <f t="shared" si="4"/>
        <v>683.2079</v>
      </c>
      <c r="F39" s="3">
        <f t="shared" si="4"/>
        <v>0</v>
      </c>
      <c r="G39" s="3">
        <f>J9</f>
        <v>0</v>
      </c>
      <c r="H39" s="3">
        <f t="shared" si="5"/>
        <v>90</v>
      </c>
    </row>
    <row r="40" spans="1:8" x14ac:dyDescent="0.2">
      <c r="A40" s="5" t="s">
        <v>9</v>
      </c>
      <c r="B40" s="3">
        <v>8</v>
      </c>
      <c r="C40" s="3">
        <f>C39</f>
        <v>-162.81829999999999</v>
      </c>
      <c r="D40" s="3">
        <f t="shared" ref="D40:H40" si="6">D39</f>
        <v>-2404.7968999999998</v>
      </c>
      <c r="E40" s="3">
        <f t="shared" si="6"/>
        <v>683.2079</v>
      </c>
      <c r="F40" s="3">
        <f t="shared" si="6"/>
        <v>0</v>
      </c>
      <c r="G40" s="3">
        <v>-90</v>
      </c>
      <c r="H40" s="3">
        <f t="shared" si="6"/>
        <v>90</v>
      </c>
    </row>
    <row r="43" spans="1:8" x14ac:dyDescent="0.2">
      <c r="A43" s="3" t="s">
        <v>13</v>
      </c>
      <c r="B43" s="3" t="s">
        <v>16</v>
      </c>
      <c r="C43" s="3" t="s">
        <v>17</v>
      </c>
      <c r="D43" s="3" t="s">
        <v>18</v>
      </c>
      <c r="E43" s="3" t="s">
        <v>19</v>
      </c>
      <c r="F43" s="3" t="s">
        <v>36</v>
      </c>
      <c r="G43" s="2" t="s">
        <v>37</v>
      </c>
    </row>
    <row r="44" spans="1:8" x14ac:dyDescent="0.2">
      <c r="A44" s="3" t="s">
        <v>14</v>
      </c>
      <c r="B44" s="3">
        <f>89*10</f>
        <v>890</v>
      </c>
      <c r="C44" s="3">
        <f>76*10</f>
        <v>760</v>
      </c>
      <c r="D44" s="3">
        <f>B44/C44</f>
        <v>1.1710526315789473</v>
      </c>
      <c r="E44" s="3">
        <f>SQRT((D50-D51)^2+(E50-E51)^2)</f>
        <v>3469.8802038242061</v>
      </c>
      <c r="F44" s="3" t="s">
        <v>39</v>
      </c>
      <c r="G44" s="2">
        <f>AVERAGE(F44,F45)</f>
        <v>4154.7941763239469</v>
      </c>
    </row>
    <row r="45" spans="1:8" x14ac:dyDescent="0.2">
      <c r="A45" s="3" t="s">
        <v>15</v>
      </c>
      <c r="B45" s="3">
        <f>90.5*10</f>
        <v>905</v>
      </c>
      <c r="C45" s="3">
        <f>C44</f>
        <v>760</v>
      </c>
      <c r="D45" s="3">
        <f>B45/C45</f>
        <v>1.1907894736842106</v>
      </c>
      <c r="E45" s="3">
        <f>SQRT((D52-D53)^2+(E52-E53)^2)</f>
        <v>3489.1089215538118</v>
      </c>
      <c r="F45" s="3">
        <f>D45*E45</f>
        <v>4154.7941763239469</v>
      </c>
      <c r="G45" s="3"/>
    </row>
    <row r="49" spans="1:6" x14ac:dyDescent="0.2">
      <c r="A49" t="s">
        <v>20</v>
      </c>
      <c r="B49" t="s">
        <v>21</v>
      </c>
      <c r="C49" t="s">
        <v>22</v>
      </c>
      <c r="D49" t="s">
        <v>23</v>
      </c>
      <c r="E49" t="s">
        <v>24</v>
      </c>
    </row>
    <row r="50" spans="1:6" x14ac:dyDescent="0.2">
      <c r="A50">
        <v>1</v>
      </c>
      <c r="B50">
        <v>1</v>
      </c>
      <c r="C50" t="s">
        <v>25</v>
      </c>
      <c r="D50">
        <v>2358.3397163835102</v>
      </c>
      <c r="E50">
        <v>333.515604222212</v>
      </c>
      <c r="F50" t="s">
        <v>27</v>
      </c>
    </row>
    <row r="51" spans="1:6" x14ac:dyDescent="0.2">
      <c r="A51">
        <v>2</v>
      </c>
      <c r="B51">
        <v>1</v>
      </c>
      <c r="C51" t="s">
        <v>25</v>
      </c>
      <c r="D51">
        <v>2494.2111267843402</v>
      </c>
      <c r="E51">
        <v>3800.7346034674001</v>
      </c>
      <c r="F51" t="s">
        <v>27</v>
      </c>
    </row>
    <row r="52" spans="1:6" x14ac:dyDescent="0.2">
      <c r="A52">
        <v>1</v>
      </c>
      <c r="B52">
        <v>2</v>
      </c>
      <c r="C52" t="s">
        <v>26</v>
      </c>
      <c r="D52">
        <v>1614.0526088025999</v>
      </c>
      <c r="E52">
        <v>1019.59180022396</v>
      </c>
      <c r="F52" t="s">
        <v>28</v>
      </c>
    </row>
    <row r="53" spans="1:6" x14ac:dyDescent="0.2">
      <c r="A53">
        <v>2</v>
      </c>
      <c r="B53">
        <v>2</v>
      </c>
      <c r="C53" t="s">
        <v>26</v>
      </c>
      <c r="D53">
        <v>1814.56193222497</v>
      </c>
      <c r="E53">
        <v>4502.9346024309298</v>
      </c>
      <c r="F53" t="s">
        <v>28</v>
      </c>
    </row>
    <row r="56" spans="1:6" x14ac:dyDescent="0.2">
      <c r="A56" s="3" t="s">
        <v>20</v>
      </c>
      <c r="B56" s="3" t="s">
        <v>21</v>
      </c>
      <c r="C56" s="3" t="s">
        <v>23</v>
      </c>
      <c r="D56" s="3" t="s">
        <v>24</v>
      </c>
      <c r="E56" s="3" t="s">
        <v>35</v>
      </c>
    </row>
    <row r="57" spans="1:6" x14ac:dyDescent="0.2">
      <c r="A57" s="3">
        <v>1</v>
      </c>
      <c r="B57" s="3">
        <v>1</v>
      </c>
      <c r="C57" s="3">
        <v>2358.3397163835102</v>
      </c>
      <c r="D57" s="3">
        <v>333.515604222212</v>
      </c>
      <c r="E57" s="3" t="s">
        <v>27</v>
      </c>
    </row>
    <row r="58" spans="1:6" x14ac:dyDescent="0.2">
      <c r="A58" s="3">
        <v>2</v>
      </c>
      <c r="B58" s="3">
        <v>1</v>
      </c>
      <c r="C58" s="3">
        <v>2494.2111267843402</v>
      </c>
      <c r="D58" s="3">
        <v>3800.7346034674001</v>
      </c>
      <c r="E58" s="3" t="s">
        <v>27</v>
      </c>
    </row>
    <row r="59" spans="1:6" x14ac:dyDescent="0.2">
      <c r="A59" s="3">
        <v>1</v>
      </c>
      <c r="B59" s="3">
        <v>2</v>
      </c>
      <c r="C59" s="3">
        <v>1614.0526088025999</v>
      </c>
      <c r="D59" s="3">
        <v>1019.59180022396</v>
      </c>
      <c r="E59" s="3" t="s">
        <v>28</v>
      </c>
    </row>
    <row r="60" spans="1:6" x14ac:dyDescent="0.2">
      <c r="A60" s="3">
        <v>2</v>
      </c>
      <c r="B60" s="3">
        <v>2</v>
      </c>
      <c r="C60" s="3">
        <v>1814.56193222497</v>
      </c>
      <c r="D60" s="3">
        <v>4502.9346024309298</v>
      </c>
      <c r="E60" s="3" t="s">
        <v>28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A4EA-DF43-7743-A8FC-CDA0F6696622}">
  <dimension ref="A1:K9"/>
  <sheetViews>
    <sheetView workbookViewId="0">
      <selection activeCell="E16" sqref="E16"/>
    </sheetView>
  </sheetViews>
  <sheetFormatPr baseColWidth="10" defaultRowHeight="16" x14ac:dyDescent="0.2"/>
  <cols>
    <col min="1" max="1" width="5.6640625" customWidth="1"/>
    <col min="2" max="2" width="6.1640625" customWidth="1"/>
    <col min="3" max="3" width="6.83203125" customWidth="1"/>
    <col min="4" max="4" width="6.1640625" customWidth="1"/>
    <col min="5" max="5" width="6.6640625" customWidth="1"/>
    <col min="6" max="6" width="5.5" customWidth="1"/>
    <col min="7" max="7" width="7.5" customWidth="1"/>
    <col min="8" max="8" width="5.6640625" customWidth="1"/>
    <col min="9" max="9" width="6.1640625" customWidth="1"/>
    <col min="10" max="10" width="5.6640625" customWidth="1"/>
    <col min="11" max="11" width="5.1640625" customWidth="1"/>
  </cols>
  <sheetData>
    <row r="1" spans="1:11" x14ac:dyDescent="0.2">
      <c r="A1" s="2" t="s">
        <v>0</v>
      </c>
      <c r="B1" s="3" t="s">
        <v>4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1</v>
      </c>
      <c r="J1" s="3" t="s">
        <v>2</v>
      </c>
      <c r="K1" s="3" t="s">
        <v>3</v>
      </c>
    </row>
    <row r="2" spans="1:11" x14ac:dyDescent="0.2">
      <c r="A2" s="4">
        <v>1</v>
      </c>
      <c r="B2" s="4">
        <v>1097</v>
      </c>
      <c r="C2" s="4">
        <v>0</v>
      </c>
      <c r="D2" s="4">
        <v>0</v>
      </c>
      <c r="E2" s="4">
        <v>0</v>
      </c>
      <c r="F2" s="6" t="s">
        <v>6</v>
      </c>
      <c r="G2" s="7"/>
      <c r="H2" s="8"/>
      <c r="I2" s="4">
        <v>-45</v>
      </c>
      <c r="J2" s="4">
        <v>0</v>
      </c>
      <c r="K2" s="4">
        <v>90</v>
      </c>
    </row>
    <row r="3" spans="1:11" x14ac:dyDescent="0.2">
      <c r="A3" s="3">
        <v>2</v>
      </c>
      <c r="B3" s="3">
        <v>1143</v>
      </c>
      <c r="C3" s="3">
        <v>0</v>
      </c>
      <c r="D3" s="3">
        <v>-3920</v>
      </c>
      <c r="E3" s="3">
        <v>-370</v>
      </c>
      <c r="F3" s="3">
        <f>B15+C3</f>
        <v>0</v>
      </c>
      <c r="G3" s="3">
        <f>C15+D3</f>
        <v>-3920</v>
      </c>
      <c r="H3" s="3">
        <f>D15+E3</f>
        <v>-370</v>
      </c>
      <c r="I3" s="3">
        <v>0</v>
      </c>
      <c r="J3" s="3">
        <v>0</v>
      </c>
      <c r="K3" s="3">
        <v>105</v>
      </c>
    </row>
    <row r="4" spans="1:11" x14ac:dyDescent="0.2">
      <c r="A4" s="3">
        <v>3</v>
      </c>
      <c r="B4" s="3">
        <v>1148</v>
      </c>
      <c r="C4" s="3">
        <v>0</v>
      </c>
      <c r="D4" s="3">
        <v>-3520</v>
      </c>
      <c r="E4" s="3">
        <v>0</v>
      </c>
      <c r="F4" s="3">
        <f t="shared" ref="F4:H9" si="0">B16+C4</f>
        <v>0</v>
      </c>
      <c r="G4" s="3">
        <f t="shared" si="0"/>
        <v>-3520</v>
      </c>
      <c r="H4" s="3">
        <f t="shared" si="0"/>
        <v>0</v>
      </c>
      <c r="I4" s="3">
        <v>0</v>
      </c>
      <c r="J4" s="3">
        <v>0</v>
      </c>
      <c r="K4" s="3">
        <v>90</v>
      </c>
    </row>
    <row r="5" spans="1:11" x14ac:dyDescent="0.2">
      <c r="A5" s="3">
        <v>4</v>
      </c>
      <c r="B5" s="3">
        <v>2036</v>
      </c>
      <c r="C5" s="3">
        <v>0</v>
      </c>
      <c r="D5" s="3">
        <v>-2540</v>
      </c>
      <c r="E5" s="3">
        <v>0</v>
      </c>
      <c r="F5" s="3">
        <f t="shared" si="0"/>
        <v>0</v>
      </c>
      <c r="G5" s="3">
        <f t="shared" si="0"/>
        <v>-2540</v>
      </c>
      <c r="H5" s="3">
        <f t="shared" si="0"/>
        <v>0</v>
      </c>
      <c r="I5" s="3">
        <v>20</v>
      </c>
      <c r="J5" s="3">
        <v>0</v>
      </c>
      <c r="K5" s="3">
        <v>105</v>
      </c>
    </row>
    <row r="6" spans="1:11" x14ac:dyDescent="0.2">
      <c r="A6" s="3">
        <v>5</v>
      </c>
      <c r="B6" s="3">
        <v>2045</v>
      </c>
      <c r="C6" s="3">
        <v>0</v>
      </c>
      <c r="D6" s="3">
        <v>-1525</v>
      </c>
      <c r="E6" s="3">
        <v>0</v>
      </c>
      <c r="F6" s="3">
        <f t="shared" si="0"/>
        <v>0</v>
      </c>
      <c r="G6" s="3">
        <f t="shared" si="0"/>
        <v>-1525</v>
      </c>
      <c r="H6" s="3">
        <f t="shared" si="0"/>
        <v>0</v>
      </c>
      <c r="I6" s="3">
        <v>30</v>
      </c>
      <c r="J6" s="3">
        <v>0</v>
      </c>
      <c r="K6" s="3">
        <v>90</v>
      </c>
    </row>
    <row r="7" spans="1:11" x14ac:dyDescent="0.2">
      <c r="A7" s="3">
        <v>6</v>
      </c>
      <c r="B7" s="3">
        <v>2045</v>
      </c>
      <c r="C7" s="3">
        <v>0</v>
      </c>
      <c r="D7" s="3">
        <v>-680</v>
      </c>
      <c r="E7" s="3">
        <v>-1040</v>
      </c>
      <c r="F7" s="3">
        <f t="shared" si="0"/>
        <v>0</v>
      </c>
      <c r="G7" s="3">
        <f t="shared" si="0"/>
        <v>-680</v>
      </c>
      <c r="H7" s="3">
        <f t="shared" si="0"/>
        <v>-1040</v>
      </c>
      <c r="I7" s="3">
        <v>60</v>
      </c>
      <c r="J7" s="3">
        <v>0</v>
      </c>
      <c r="K7" s="3">
        <v>90</v>
      </c>
    </row>
    <row r="8" spans="1:11" x14ac:dyDescent="0.2">
      <c r="A8" s="3">
        <v>7</v>
      </c>
      <c r="B8" s="3">
        <v>1106</v>
      </c>
      <c r="C8" s="3">
        <v>0</v>
      </c>
      <c r="D8" s="3">
        <v>-980</v>
      </c>
      <c r="E8" s="3">
        <v>0</v>
      </c>
      <c r="F8" s="3">
        <f t="shared" si="0"/>
        <v>0</v>
      </c>
      <c r="G8" s="3">
        <f t="shared" si="0"/>
        <v>-980</v>
      </c>
      <c r="H8" s="3">
        <f t="shared" si="0"/>
        <v>0</v>
      </c>
      <c r="I8" s="3">
        <v>-45</v>
      </c>
      <c r="J8" s="3">
        <v>0</v>
      </c>
      <c r="K8" s="3">
        <f>(-10)+90</f>
        <v>80</v>
      </c>
    </row>
    <row r="9" spans="1:11" x14ac:dyDescent="0.2">
      <c r="A9" s="3">
        <v>8</v>
      </c>
      <c r="B9" s="3">
        <v>1146</v>
      </c>
      <c r="C9" s="3">
        <v>0</v>
      </c>
      <c r="D9" s="3">
        <v>-2285</v>
      </c>
      <c r="E9" s="3">
        <v>0</v>
      </c>
      <c r="F9" s="3">
        <f t="shared" si="0"/>
        <v>0</v>
      </c>
      <c r="G9" s="3">
        <f t="shared" si="0"/>
        <v>-2285</v>
      </c>
      <c r="H9" s="3">
        <f t="shared" si="0"/>
        <v>0</v>
      </c>
      <c r="I9" s="3">
        <v>0</v>
      </c>
      <c r="J9" s="3">
        <v>0</v>
      </c>
      <c r="K9" s="3">
        <v>90</v>
      </c>
    </row>
  </sheetData>
  <mergeCells count="1"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MANSELL</dc:creator>
  <cp:lastModifiedBy>Trevor MANSELL</cp:lastModifiedBy>
  <dcterms:created xsi:type="dcterms:W3CDTF">2026-10-13T20:22:02Z</dcterms:created>
  <dcterms:modified xsi:type="dcterms:W3CDTF">2026-10-29T20:13:24Z</dcterms:modified>
</cp:coreProperties>
</file>